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718\Desktop\project\Final\CatFinal\"/>
    </mc:Choice>
  </mc:AlternateContent>
  <xr:revisionPtr revIDLastSave="0" documentId="13_ncr:1_{1A318AD4-EC14-4B81-8523-FF43F45E2CB1}" xr6:coauthVersionLast="47" xr6:coauthVersionMax="47" xr10:uidLastSave="{00000000-0000-0000-0000-000000000000}"/>
  <bookViews>
    <workbookView xWindow="-110" yWindow="-110" windowWidth="25820" windowHeight="13900" xr2:uid="{D43F6135-C18E-4AF4-9F5D-25D2606CBF4D}"/>
  </bookViews>
  <sheets>
    <sheet name="Sheet1" sheetId="1" r:id="rId1"/>
  </sheets>
  <definedNames>
    <definedName name="B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5" i="1"/>
  <c r="L6" i="1"/>
  <c r="L7" i="1"/>
  <c r="L8" i="1"/>
  <c r="L9" i="1"/>
  <c r="L10" i="1"/>
  <c r="L11" i="1"/>
  <c r="L12" i="1"/>
  <c r="L4" i="1"/>
  <c r="K28" i="1"/>
  <c r="K29" i="1"/>
  <c r="K30" i="1"/>
</calcChain>
</file>

<file path=xl/sharedStrings.xml><?xml version="1.0" encoding="utf-8"?>
<sst xmlns="http://schemas.openxmlformats.org/spreadsheetml/2006/main" count="116" uniqueCount="14">
  <si>
    <t>Matrix Failure strain (%)</t>
    <phoneticPr fontId="3" type="noConversion"/>
  </si>
  <si>
    <t>Matrix Young's modulus (GPa)</t>
    <phoneticPr fontId="2" type="noConversion"/>
  </si>
  <si>
    <t>Matrix Tensile strength (MPa)</t>
    <phoneticPr fontId="3" type="noConversion"/>
  </si>
  <si>
    <t>Critical fragment length (µm)</t>
    <phoneticPr fontId="2" type="noConversion"/>
  </si>
  <si>
    <t>Fiber diameter (µm)</t>
    <phoneticPr fontId="3" type="noConversion"/>
  </si>
  <si>
    <t>Fiber Characteristic Strength (GPa)</t>
    <phoneticPr fontId="3" type="noConversion"/>
  </si>
  <si>
    <t>Fiber Tensile modulus (GPa)</t>
    <phoneticPr fontId="3" type="noConversion"/>
  </si>
  <si>
    <t>Fiber Weibull exponent (shape parameter)</t>
    <phoneticPr fontId="3" type="noConversion"/>
  </si>
  <si>
    <t>Yes</t>
  </si>
  <si>
    <t>No</t>
  </si>
  <si>
    <t>Test Temperature (°C)</t>
    <phoneticPr fontId="2" type="noConversion"/>
  </si>
  <si>
    <t>IfSized</t>
    <phoneticPr fontId="2" type="noConversion"/>
  </si>
  <si>
    <t>IfTreated</t>
    <phoneticPr fontId="2" type="noConversion"/>
  </si>
  <si>
    <t>Uncertainty of Critical fragment length (µm)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</si>
</sst>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F111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F1F1F"/>
      <name val="等线"/>
      <family val="3"/>
      <charset val="134"/>
      <scheme val="minor"/>
    </font>
    <font>
      <sz val="11"/>
      <color theme="1"/>
      <name val="Segoe UI"/>
      <family val="2"/>
    </font>
    <font>
      <sz val="11"/>
      <color rgb="FF0F1115"/>
      <name val="等线"/>
      <family val="3"/>
      <charset val="134"/>
      <scheme val="minor"/>
    </font>
    <font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C50F-695D-47D6-B388-F6A2CD5CABD8}">
  <dimension ref="A1:L53"/>
  <sheetViews>
    <sheetView tabSelected="1" topLeftCell="A38" zoomScale="40" workbookViewId="0">
      <selection activeCell="J6" sqref="J6"/>
    </sheetView>
  </sheetViews>
  <sheetFormatPr defaultRowHeight="14" x14ac:dyDescent="0.3"/>
  <cols>
    <col min="1" max="10" width="20.58203125" customWidth="1"/>
    <col min="11" max="11" width="28.58203125" customWidth="1"/>
    <col min="12" max="12" width="35" customWidth="1"/>
  </cols>
  <sheetData>
    <row r="1" spans="1:12" ht="50" customHeight="1" x14ac:dyDescent="0.3">
      <c r="A1" s="2" t="s">
        <v>11</v>
      </c>
      <c r="B1" s="2" t="s">
        <v>12</v>
      </c>
      <c r="C1" s="2" t="s">
        <v>4</v>
      </c>
      <c r="D1" s="2" t="s">
        <v>5</v>
      </c>
      <c r="E1" s="2" t="s">
        <v>6</v>
      </c>
      <c r="F1" s="1" t="s">
        <v>7</v>
      </c>
      <c r="G1" s="1" t="s">
        <v>2</v>
      </c>
      <c r="H1" s="1" t="s">
        <v>0</v>
      </c>
      <c r="I1" s="1" t="s">
        <v>1</v>
      </c>
      <c r="J1" s="1" t="s">
        <v>10</v>
      </c>
      <c r="K1" s="7" t="s">
        <v>3</v>
      </c>
      <c r="L1" s="7" t="s">
        <v>13</v>
      </c>
    </row>
    <row r="2" spans="1:12" ht="50" customHeight="1" x14ac:dyDescent="0.3">
      <c r="A2" s="9" t="s">
        <v>9</v>
      </c>
      <c r="B2" s="9" t="s">
        <v>9</v>
      </c>
      <c r="C2" s="2">
        <v>7</v>
      </c>
      <c r="D2" s="8">
        <v>4.8899999999999997</v>
      </c>
      <c r="E2" s="8">
        <v>256</v>
      </c>
      <c r="F2" s="8">
        <v>4.71</v>
      </c>
      <c r="G2" s="8">
        <v>76</v>
      </c>
      <c r="H2" s="8">
        <v>5.7</v>
      </c>
      <c r="I2" s="8">
        <v>1.64</v>
      </c>
      <c r="J2" s="8">
        <v>25</v>
      </c>
      <c r="K2" s="16">
        <f>836.5*4/3</f>
        <v>1115.3333333333333</v>
      </c>
      <c r="L2" s="13">
        <v>34.266666666666666</v>
      </c>
    </row>
    <row r="3" spans="1:12" ht="50" customHeight="1" x14ac:dyDescent="0.3">
      <c r="A3" s="3" t="s">
        <v>9</v>
      </c>
      <c r="B3" s="3" t="s">
        <v>8</v>
      </c>
      <c r="C3" s="3">
        <v>7.2</v>
      </c>
      <c r="D3" s="3">
        <v>4.54</v>
      </c>
      <c r="E3" s="3">
        <v>257</v>
      </c>
      <c r="F3" s="3">
        <v>4.75</v>
      </c>
      <c r="G3" s="3">
        <v>76</v>
      </c>
      <c r="H3" s="3">
        <v>5.7</v>
      </c>
      <c r="I3" s="3">
        <v>1.64</v>
      </c>
      <c r="J3" s="3">
        <v>25</v>
      </c>
      <c r="K3" s="17">
        <v>520.57333333333338</v>
      </c>
      <c r="L3" s="13">
        <v>12.4</v>
      </c>
    </row>
    <row r="4" spans="1:12" ht="50" customHeight="1" x14ac:dyDescent="0.3">
      <c r="A4" s="3" t="s">
        <v>9</v>
      </c>
      <c r="B4" s="3" t="s">
        <v>9</v>
      </c>
      <c r="C4" s="3">
        <v>7</v>
      </c>
      <c r="D4" s="3">
        <v>4.9000000000000004</v>
      </c>
      <c r="E4" s="3">
        <v>230</v>
      </c>
      <c r="F4" s="3">
        <v>4.7</v>
      </c>
      <c r="G4" s="3">
        <v>85</v>
      </c>
      <c r="H4" s="3">
        <v>38</v>
      </c>
      <c r="I4" s="3">
        <v>3</v>
      </c>
      <c r="J4" s="3">
        <v>25</v>
      </c>
      <c r="K4" s="8">
        <v>862</v>
      </c>
      <c r="L4" s="18">
        <f>5%*K4</f>
        <v>43.1</v>
      </c>
    </row>
    <row r="5" spans="1:12" ht="50" customHeight="1" x14ac:dyDescent="0.3">
      <c r="A5" s="4" t="s">
        <v>9</v>
      </c>
      <c r="B5" s="4" t="s">
        <v>9</v>
      </c>
      <c r="C5" s="3">
        <v>7.3</v>
      </c>
      <c r="D5" s="3">
        <v>2.86</v>
      </c>
      <c r="E5" s="3">
        <v>200</v>
      </c>
      <c r="F5" s="4">
        <v>5.21</v>
      </c>
      <c r="G5" s="3">
        <v>128.30000000000001</v>
      </c>
      <c r="H5" s="3">
        <v>8.3000000000000007</v>
      </c>
      <c r="I5" s="3">
        <v>2.92</v>
      </c>
      <c r="J5" s="3">
        <v>25</v>
      </c>
      <c r="K5" s="17">
        <v>338</v>
      </c>
      <c r="L5" s="18">
        <f t="shared" ref="L5:L12" si="0">5%*K5</f>
        <v>16.900000000000002</v>
      </c>
    </row>
    <row r="6" spans="1:12" ht="50" customHeight="1" thickBot="1" x14ac:dyDescent="0.35">
      <c r="A6" s="4" t="s">
        <v>8</v>
      </c>
      <c r="B6" s="4" t="s">
        <v>9</v>
      </c>
      <c r="C6" s="3">
        <v>7.3</v>
      </c>
      <c r="D6" s="3">
        <v>4.0199999999999996</v>
      </c>
      <c r="E6" s="3">
        <v>217</v>
      </c>
      <c r="F6" s="4">
        <v>4.32</v>
      </c>
      <c r="G6" s="3">
        <v>128.30000000000001</v>
      </c>
      <c r="H6" s="3">
        <v>8.3000000000000007</v>
      </c>
      <c r="I6" s="3">
        <v>2.92</v>
      </c>
      <c r="J6" s="3">
        <v>25</v>
      </c>
      <c r="K6" s="17">
        <v>383</v>
      </c>
      <c r="L6" s="18">
        <f t="shared" si="0"/>
        <v>19.150000000000002</v>
      </c>
    </row>
    <row r="7" spans="1:12" ht="50" customHeight="1" thickBot="1" x14ac:dyDescent="0.35">
      <c r="A7" s="3" t="s">
        <v>8</v>
      </c>
      <c r="B7" s="3" t="s">
        <v>9</v>
      </c>
      <c r="C7" s="3">
        <v>5.7</v>
      </c>
      <c r="D7" s="3">
        <v>5.76</v>
      </c>
      <c r="E7" s="3">
        <v>278</v>
      </c>
      <c r="F7" s="3">
        <v>4.95</v>
      </c>
      <c r="G7" s="3">
        <v>62</v>
      </c>
      <c r="H7" s="3">
        <v>9</v>
      </c>
      <c r="I7" s="3">
        <v>1.62</v>
      </c>
      <c r="J7" s="3">
        <v>25</v>
      </c>
      <c r="K7" s="21">
        <v>706.49599999999998</v>
      </c>
      <c r="L7" s="18">
        <f t="shared" si="0"/>
        <v>35.324800000000003</v>
      </c>
    </row>
    <row r="8" spans="1:12" ht="50" customHeight="1" thickBot="1" x14ac:dyDescent="0.35">
      <c r="A8" s="3" t="s">
        <v>8</v>
      </c>
      <c r="B8" s="3" t="s">
        <v>9</v>
      </c>
      <c r="C8" s="3">
        <v>5.7</v>
      </c>
      <c r="D8" s="3">
        <v>5.76</v>
      </c>
      <c r="E8" s="3">
        <v>278</v>
      </c>
      <c r="F8" s="3">
        <v>4.95</v>
      </c>
      <c r="G8" s="3">
        <v>68</v>
      </c>
      <c r="H8" s="3">
        <v>12</v>
      </c>
      <c r="I8" s="3">
        <v>1.61</v>
      </c>
      <c r="J8" s="3">
        <v>25</v>
      </c>
      <c r="K8" s="21">
        <v>708.85199999999998</v>
      </c>
      <c r="L8" s="18">
        <f t="shared" si="0"/>
        <v>35.442599999999999</v>
      </c>
    </row>
    <row r="9" spans="1:12" ht="50" customHeight="1" thickBot="1" x14ac:dyDescent="0.35">
      <c r="A9" s="3" t="s">
        <v>8</v>
      </c>
      <c r="B9" s="3" t="s">
        <v>9</v>
      </c>
      <c r="C9" s="3">
        <v>5.7</v>
      </c>
      <c r="D9" s="3">
        <v>5.76</v>
      </c>
      <c r="E9" s="3">
        <v>278</v>
      </c>
      <c r="F9" s="3">
        <v>4.95</v>
      </c>
      <c r="G9" s="3">
        <v>73</v>
      </c>
      <c r="H9" s="3">
        <v>15</v>
      </c>
      <c r="I9" s="3">
        <v>1.52</v>
      </c>
      <c r="J9" s="3">
        <v>25</v>
      </c>
      <c r="K9" s="21">
        <v>666.67200000000003</v>
      </c>
      <c r="L9" s="18">
        <f t="shared" si="0"/>
        <v>33.333600000000004</v>
      </c>
    </row>
    <row r="10" spans="1:12" ht="50" customHeight="1" thickBot="1" x14ac:dyDescent="0.35">
      <c r="A10" s="3" t="s">
        <v>8</v>
      </c>
      <c r="B10" s="3" t="s">
        <v>9</v>
      </c>
      <c r="C10" s="3">
        <v>5.7</v>
      </c>
      <c r="D10" s="3">
        <v>5.76</v>
      </c>
      <c r="E10" s="3">
        <v>278</v>
      </c>
      <c r="F10" s="3">
        <v>4.95</v>
      </c>
      <c r="G10" s="3">
        <v>78</v>
      </c>
      <c r="H10" s="3">
        <v>22</v>
      </c>
      <c r="I10" s="3">
        <v>1.25</v>
      </c>
      <c r="J10" s="3">
        <v>25</v>
      </c>
      <c r="K10" s="21">
        <v>631.78800000000001</v>
      </c>
      <c r="L10" s="18">
        <f t="shared" si="0"/>
        <v>31.589400000000001</v>
      </c>
    </row>
    <row r="11" spans="1:12" ht="50" customHeight="1" thickBot="1" x14ac:dyDescent="0.35">
      <c r="A11" s="3" t="s">
        <v>8</v>
      </c>
      <c r="B11" s="3" t="s">
        <v>9</v>
      </c>
      <c r="C11" s="3">
        <v>5.7</v>
      </c>
      <c r="D11" s="3">
        <v>5.76</v>
      </c>
      <c r="E11" s="3">
        <v>278</v>
      </c>
      <c r="F11" s="3">
        <v>4.95</v>
      </c>
      <c r="G11" s="3">
        <v>55</v>
      </c>
      <c r="H11" s="3">
        <v>37</v>
      </c>
      <c r="I11" s="3">
        <v>0.67800000000000005</v>
      </c>
      <c r="J11" s="3">
        <v>25</v>
      </c>
      <c r="K11" s="21">
        <v>603.82000000000005</v>
      </c>
      <c r="L11" s="18">
        <f t="shared" si="0"/>
        <v>30.191000000000003</v>
      </c>
    </row>
    <row r="12" spans="1:12" ht="50" customHeight="1" thickBot="1" x14ac:dyDescent="0.35">
      <c r="A12" s="3" t="s">
        <v>8</v>
      </c>
      <c r="B12" s="3" t="s">
        <v>9</v>
      </c>
      <c r="C12" s="3">
        <v>5.7</v>
      </c>
      <c r="D12" s="3">
        <v>5.76</v>
      </c>
      <c r="E12" s="3">
        <v>278</v>
      </c>
      <c r="F12" s="3">
        <v>4.95</v>
      </c>
      <c r="G12" s="3">
        <v>40</v>
      </c>
      <c r="H12" s="3">
        <v>39</v>
      </c>
      <c r="I12" s="3">
        <v>0.53800000000000003</v>
      </c>
      <c r="J12" s="3">
        <v>25</v>
      </c>
      <c r="K12" s="21">
        <v>889.35199999999998</v>
      </c>
      <c r="L12" s="18">
        <f t="shared" si="0"/>
        <v>44.467600000000004</v>
      </c>
    </row>
    <row r="13" spans="1:12" ht="50" customHeight="1" x14ac:dyDescent="0.3">
      <c r="A13" s="3" t="s">
        <v>8</v>
      </c>
      <c r="B13" s="3" t="s">
        <v>8</v>
      </c>
      <c r="C13" s="3">
        <v>7.45</v>
      </c>
      <c r="D13" s="3">
        <v>4.32</v>
      </c>
      <c r="E13" s="3">
        <v>191</v>
      </c>
      <c r="F13" s="3">
        <v>3.69</v>
      </c>
      <c r="G13" s="3">
        <v>84.1</v>
      </c>
      <c r="H13" s="3">
        <v>7.7</v>
      </c>
      <c r="I13" s="3">
        <v>3.21</v>
      </c>
      <c r="J13" s="3">
        <v>25</v>
      </c>
      <c r="K13" s="17">
        <v>510</v>
      </c>
      <c r="L13" s="13">
        <v>59.6</v>
      </c>
    </row>
    <row r="14" spans="1:12" ht="50" customHeight="1" x14ac:dyDescent="0.3">
      <c r="A14" s="3" t="s">
        <v>9</v>
      </c>
      <c r="B14" s="3" t="s">
        <v>8</v>
      </c>
      <c r="C14" s="3">
        <v>6.79</v>
      </c>
      <c r="D14" s="3">
        <v>4.58</v>
      </c>
      <c r="E14" s="3">
        <v>187</v>
      </c>
      <c r="F14" s="3">
        <v>6.11</v>
      </c>
      <c r="G14" s="3">
        <v>84.1</v>
      </c>
      <c r="H14" s="3">
        <v>7.7</v>
      </c>
      <c r="I14" s="3">
        <v>3.21</v>
      </c>
      <c r="J14" s="3">
        <v>25</v>
      </c>
      <c r="K14" s="17">
        <v>510</v>
      </c>
      <c r="L14" s="13">
        <v>100</v>
      </c>
    </row>
    <row r="15" spans="1:12" ht="50" customHeight="1" x14ac:dyDescent="0.3">
      <c r="A15" s="3" t="s">
        <v>9</v>
      </c>
      <c r="B15" s="3" t="s">
        <v>9</v>
      </c>
      <c r="C15" s="5">
        <v>7</v>
      </c>
      <c r="D15" s="5">
        <v>4.42</v>
      </c>
      <c r="E15" s="5">
        <v>238</v>
      </c>
      <c r="F15" s="5">
        <v>5.99</v>
      </c>
      <c r="G15" s="5">
        <v>50</v>
      </c>
      <c r="H15" s="5">
        <v>11</v>
      </c>
      <c r="I15" s="5">
        <v>1.1100000000000001</v>
      </c>
      <c r="J15" s="3">
        <v>25</v>
      </c>
      <c r="K15" s="17">
        <v>680.36286019210229</v>
      </c>
      <c r="L15" s="13">
        <v>120.79491666666661</v>
      </c>
    </row>
    <row r="16" spans="1:12" ht="50" customHeight="1" x14ac:dyDescent="0.3">
      <c r="A16" s="6" t="s">
        <v>9</v>
      </c>
      <c r="B16" s="6" t="s">
        <v>8</v>
      </c>
      <c r="C16" s="5">
        <v>7</v>
      </c>
      <c r="D16" s="6">
        <v>3.99</v>
      </c>
      <c r="E16" s="5">
        <v>238</v>
      </c>
      <c r="F16" s="6">
        <v>5.74</v>
      </c>
      <c r="G16" s="5">
        <v>50</v>
      </c>
      <c r="H16" s="5">
        <v>11</v>
      </c>
      <c r="I16" s="6">
        <v>1.1100000000000001</v>
      </c>
      <c r="J16" s="3">
        <v>25</v>
      </c>
      <c r="K16" s="17">
        <v>433.25432478717323</v>
      </c>
      <c r="L16" s="13">
        <v>134.00107526881726</v>
      </c>
    </row>
    <row r="17" spans="1:12" ht="50" customHeight="1" x14ac:dyDescent="0.3">
      <c r="A17" s="6" t="s">
        <v>8</v>
      </c>
      <c r="B17" s="6" t="s">
        <v>8</v>
      </c>
      <c r="C17" s="5">
        <v>7</v>
      </c>
      <c r="D17" s="6">
        <v>3.72</v>
      </c>
      <c r="E17" s="5">
        <v>238</v>
      </c>
      <c r="F17" s="6">
        <v>5.0999999999999996</v>
      </c>
      <c r="G17" s="5">
        <v>50</v>
      </c>
      <c r="H17" s="5">
        <v>11</v>
      </c>
      <c r="I17" s="6">
        <v>1.1100000000000001</v>
      </c>
      <c r="J17" s="3">
        <v>25</v>
      </c>
      <c r="K17" s="17">
        <v>315.80479285922195</v>
      </c>
      <c r="L17" s="13">
        <v>60.638657968313169</v>
      </c>
    </row>
    <row r="18" spans="1:12" ht="50" customHeight="1" x14ac:dyDescent="0.3">
      <c r="A18" s="6" t="s">
        <v>9</v>
      </c>
      <c r="B18" s="6" t="s">
        <v>8</v>
      </c>
      <c r="C18" s="5">
        <v>7</v>
      </c>
      <c r="D18" s="6">
        <v>4.16</v>
      </c>
      <c r="E18" s="6">
        <v>240</v>
      </c>
      <c r="F18" s="6">
        <v>4.54</v>
      </c>
      <c r="G18" s="5">
        <v>50</v>
      </c>
      <c r="H18" s="5">
        <v>11</v>
      </c>
      <c r="I18" s="6">
        <v>1.1100000000000001</v>
      </c>
      <c r="J18" s="3">
        <v>25</v>
      </c>
      <c r="K18" s="17">
        <v>342</v>
      </c>
      <c r="L18" s="13">
        <v>40</v>
      </c>
    </row>
    <row r="19" spans="1:12" ht="50" customHeight="1" x14ac:dyDescent="0.3">
      <c r="A19" s="6" t="s">
        <v>8</v>
      </c>
      <c r="B19" s="6" t="s">
        <v>8</v>
      </c>
      <c r="C19" s="5">
        <v>7</v>
      </c>
      <c r="D19" s="6">
        <v>3.89</v>
      </c>
      <c r="E19" s="6">
        <v>240</v>
      </c>
      <c r="F19" s="6">
        <v>4.3099999999999996</v>
      </c>
      <c r="G19" s="5">
        <v>50</v>
      </c>
      <c r="H19" s="5">
        <v>11</v>
      </c>
      <c r="I19" s="6">
        <v>1.1100000000000001</v>
      </c>
      <c r="J19" s="3">
        <v>25</v>
      </c>
      <c r="K19" s="17">
        <v>334</v>
      </c>
      <c r="L19" s="13">
        <v>38</v>
      </c>
    </row>
    <row r="20" spans="1:12" ht="50" customHeight="1" x14ac:dyDescent="0.3">
      <c r="A20" s="6" t="s">
        <v>8</v>
      </c>
      <c r="B20" s="6" t="s">
        <v>8</v>
      </c>
      <c r="C20" s="5">
        <v>7</v>
      </c>
      <c r="D20" s="6">
        <v>4.2699999999999996</v>
      </c>
      <c r="E20" s="6">
        <v>240</v>
      </c>
      <c r="F20" s="6">
        <v>5.46</v>
      </c>
      <c r="G20" s="5">
        <v>50</v>
      </c>
      <c r="H20" s="5">
        <v>11</v>
      </c>
      <c r="I20" s="6">
        <v>1.1100000000000001</v>
      </c>
      <c r="J20" s="3">
        <v>25</v>
      </c>
      <c r="K20" s="17">
        <v>376</v>
      </c>
      <c r="L20" s="13">
        <v>43</v>
      </c>
    </row>
    <row r="21" spans="1:12" ht="50" customHeight="1" x14ac:dyDescent="0.3">
      <c r="A21" s="6" t="s">
        <v>9</v>
      </c>
      <c r="B21" s="6" t="s">
        <v>8</v>
      </c>
      <c r="C21" s="5">
        <v>7</v>
      </c>
      <c r="D21" s="6">
        <v>4.16</v>
      </c>
      <c r="E21" s="6">
        <v>240</v>
      </c>
      <c r="F21" s="6">
        <v>4.54</v>
      </c>
      <c r="G21" s="6">
        <v>62</v>
      </c>
      <c r="H21" s="6">
        <v>8.8000000000000007</v>
      </c>
      <c r="I21" s="6">
        <v>1.47</v>
      </c>
      <c r="J21" s="3">
        <v>25</v>
      </c>
      <c r="K21" s="17">
        <v>281</v>
      </c>
      <c r="L21" s="13">
        <v>38</v>
      </c>
    </row>
    <row r="22" spans="1:12" ht="50" customHeight="1" x14ac:dyDescent="0.3">
      <c r="A22" s="6" t="s">
        <v>8</v>
      </c>
      <c r="B22" s="6" t="s">
        <v>8</v>
      </c>
      <c r="C22" s="5">
        <v>7</v>
      </c>
      <c r="D22" s="6">
        <v>3.89</v>
      </c>
      <c r="E22" s="6">
        <v>240</v>
      </c>
      <c r="F22" s="6">
        <v>4.3099999999999996</v>
      </c>
      <c r="G22" s="6">
        <v>62</v>
      </c>
      <c r="H22" s="6">
        <v>8.8000000000000007</v>
      </c>
      <c r="I22" s="6">
        <v>1.47</v>
      </c>
      <c r="J22" s="3">
        <v>25</v>
      </c>
      <c r="K22" s="17">
        <v>275</v>
      </c>
      <c r="L22" s="13">
        <v>32</v>
      </c>
    </row>
    <row r="23" spans="1:12" ht="50" customHeight="1" x14ac:dyDescent="0.3">
      <c r="A23" s="10" t="s">
        <v>8</v>
      </c>
      <c r="B23" s="10" t="s">
        <v>8</v>
      </c>
      <c r="C23" s="11">
        <v>7</v>
      </c>
      <c r="D23" s="10">
        <v>4.2699999999999996</v>
      </c>
      <c r="E23" s="10">
        <v>240</v>
      </c>
      <c r="F23" s="10">
        <v>5.46</v>
      </c>
      <c r="G23" s="10">
        <v>62</v>
      </c>
      <c r="H23" s="10">
        <v>8.8000000000000007</v>
      </c>
      <c r="I23" s="10">
        <v>1.47</v>
      </c>
      <c r="J23" s="12">
        <v>25</v>
      </c>
      <c r="K23" s="19">
        <v>295</v>
      </c>
      <c r="L23" s="13">
        <v>39</v>
      </c>
    </row>
    <row r="24" spans="1:12" ht="50" customHeight="1" x14ac:dyDescent="0.3">
      <c r="A24" s="6" t="s">
        <v>9</v>
      </c>
      <c r="B24" s="6" t="s">
        <v>9</v>
      </c>
      <c r="C24" s="13">
        <v>6.7</v>
      </c>
      <c r="D24" s="13">
        <v>4.375</v>
      </c>
      <c r="E24" s="13">
        <v>241</v>
      </c>
      <c r="F24" s="13">
        <v>4.5999999999999996</v>
      </c>
      <c r="G24" s="13">
        <v>102</v>
      </c>
      <c r="H24" s="13">
        <v>5</v>
      </c>
      <c r="I24" s="13">
        <v>4</v>
      </c>
      <c r="J24" s="13">
        <v>25</v>
      </c>
      <c r="K24" s="15">
        <v>526</v>
      </c>
      <c r="L24" s="13">
        <v>164</v>
      </c>
    </row>
    <row r="25" spans="1:12" ht="50" customHeight="1" x14ac:dyDescent="0.3">
      <c r="A25" s="6" t="s">
        <v>9</v>
      </c>
      <c r="B25" s="6" t="s">
        <v>9</v>
      </c>
      <c r="C25" s="13">
        <v>5</v>
      </c>
      <c r="D25" s="13">
        <v>6.0670000000000002</v>
      </c>
      <c r="E25" s="13">
        <v>290</v>
      </c>
      <c r="F25" s="13">
        <v>9.3000000000000007</v>
      </c>
      <c r="G25" s="13">
        <v>102</v>
      </c>
      <c r="H25" s="13">
        <v>5</v>
      </c>
      <c r="I25" s="13">
        <v>4</v>
      </c>
      <c r="J25" s="13">
        <v>25</v>
      </c>
      <c r="K25" s="15">
        <v>575</v>
      </c>
      <c r="L25" s="13">
        <v>107</v>
      </c>
    </row>
    <row r="26" spans="1:12" ht="50" customHeight="1" x14ac:dyDescent="0.3">
      <c r="A26" s="6" t="s">
        <v>8</v>
      </c>
      <c r="B26" s="6" t="s">
        <v>9</v>
      </c>
      <c r="C26" s="13">
        <v>5.3</v>
      </c>
      <c r="D26" s="13">
        <v>4.3129999999999997</v>
      </c>
      <c r="E26" s="13">
        <v>290</v>
      </c>
      <c r="F26" s="13">
        <v>8.5</v>
      </c>
      <c r="G26" s="13">
        <v>102</v>
      </c>
      <c r="H26" s="13">
        <v>5</v>
      </c>
      <c r="I26" s="13">
        <v>4</v>
      </c>
      <c r="J26" s="13">
        <v>25</v>
      </c>
      <c r="K26" s="15">
        <v>381</v>
      </c>
      <c r="L26" s="13">
        <v>34</v>
      </c>
    </row>
    <row r="27" spans="1:12" ht="50" customHeight="1" x14ac:dyDescent="0.3">
      <c r="A27" s="6" t="s">
        <v>9</v>
      </c>
      <c r="B27" s="6" t="s">
        <v>9</v>
      </c>
      <c r="C27" s="13">
        <v>5.3</v>
      </c>
      <c r="D27" s="13">
        <v>5.05</v>
      </c>
      <c r="E27" s="13">
        <v>290</v>
      </c>
      <c r="F27" s="13">
        <v>14.3</v>
      </c>
      <c r="G27" s="13">
        <v>102</v>
      </c>
      <c r="H27" s="13">
        <v>5</v>
      </c>
      <c r="I27" s="13">
        <v>4</v>
      </c>
      <c r="J27" s="13">
        <v>25</v>
      </c>
      <c r="K27" s="15">
        <v>559</v>
      </c>
      <c r="L27" s="13">
        <v>89</v>
      </c>
    </row>
    <row r="28" spans="1:12" ht="50" customHeight="1" x14ac:dyDescent="0.3">
      <c r="A28" s="6" t="s">
        <v>9</v>
      </c>
      <c r="B28" s="6" t="s">
        <v>9</v>
      </c>
      <c r="C28" s="13">
        <v>5.2</v>
      </c>
      <c r="D28" s="13">
        <v>5.67</v>
      </c>
      <c r="E28" s="13">
        <v>276</v>
      </c>
      <c r="F28" s="13">
        <v>5</v>
      </c>
      <c r="G28" s="13">
        <v>70</v>
      </c>
      <c r="H28" s="13">
        <v>5</v>
      </c>
      <c r="I28" s="13">
        <v>2.04</v>
      </c>
      <c r="J28" s="13">
        <v>25</v>
      </c>
      <c r="K28" s="15">
        <f>5.67*38</f>
        <v>215.46</v>
      </c>
      <c r="L28" s="13">
        <v>8.504999999999999</v>
      </c>
    </row>
    <row r="29" spans="1:12" ht="50" customHeight="1" x14ac:dyDescent="0.3">
      <c r="A29" s="6" t="s">
        <v>9</v>
      </c>
      <c r="B29" s="6" t="s">
        <v>9</v>
      </c>
      <c r="C29" s="13">
        <v>5.2</v>
      </c>
      <c r="D29" s="13">
        <v>5.67</v>
      </c>
      <c r="E29" s="13">
        <v>276</v>
      </c>
      <c r="F29" s="13">
        <v>5</v>
      </c>
      <c r="G29" s="13">
        <v>70</v>
      </c>
      <c r="H29" s="13">
        <v>5</v>
      </c>
      <c r="I29" s="13">
        <v>2.04</v>
      </c>
      <c r="J29" s="13">
        <v>45</v>
      </c>
      <c r="K29" s="15">
        <f>5.67*46</f>
        <v>260.82</v>
      </c>
      <c r="L29" s="13">
        <v>19.844999999999999</v>
      </c>
    </row>
    <row r="30" spans="1:12" ht="50" customHeight="1" x14ac:dyDescent="0.3">
      <c r="A30" s="10" t="s">
        <v>9</v>
      </c>
      <c r="B30" s="10" t="s">
        <v>9</v>
      </c>
      <c r="C30" s="14">
        <v>5.2</v>
      </c>
      <c r="D30" s="14">
        <v>5.67</v>
      </c>
      <c r="E30" s="14">
        <v>276</v>
      </c>
      <c r="F30" s="14">
        <v>5</v>
      </c>
      <c r="G30" s="14">
        <v>70</v>
      </c>
      <c r="H30" s="14">
        <v>5</v>
      </c>
      <c r="I30" s="14">
        <v>2.04</v>
      </c>
      <c r="J30" s="14">
        <v>65</v>
      </c>
      <c r="K30" s="20">
        <f>5.67*49</f>
        <v>277.83</v>
      </c>
      <c r="L30" s="13">
        <v>10.206</v>
      </c>
    </row>
    <row r="31" spans="1:12" ht="50" customHeight="1" x14ac:dyDescent="0.3">
      <c r="A31" s="13" t="s">
        <v>9</v>
      </c>
      <c r="B31" s="8" t="s">
        <v>9</v>
      </c>
      <c r="C31" s="13">
        <v>7</v>
      </c>
      <c r="D31" s="13">
        <v>3.59</v>
      </c>
      <c r="E31" s="13">
        <v>256.2</v>
      </c>
      <c r="F31" s="13">
        <v>4</v>
      </c>
      <c r="G31" s="13">
        <v>68</v>
      </c>
      <c r="H31" s="13">
        <v>6</v>
      </c>
      <c r="I31" s="13">
        <v>2.6</v>
      </c>
      <c r="J31" s="13">
        <v>25</v>
      </c>
      <c r="K31" s="13">
        <v>616.83848797250846</v>
      </c>
      <c r="L31" s="13">
        <v>41.5</v>
      </c>
    </row>
    <row r="32" spans="1:12" ht="50" customHeight="1" x14ac:dyDescent="0.3">
      <c r="A32" s="13" t="s">
        <v>8</v>
      </c>
      <c r="B32" s="8" t="s">
        <v>9</v>
      </c>
      <c r="C32" s="13">
        <v>7</v>
      </c>
      <c r="D32" s="13">
        <v>3.92</v>
      </c>
      <c r="E32" s="13">
        <v>257.7</v>
      </c>
      <c r="F32" s="13">
        <v>4</v>
      </c>
      <c r="G32" s="13">
        <v>68</v>
      </c>
      <c r="H32" s="13">
        <v>6</v>
      </c>
      <c r="I32" s="13">
        <v>2.6</v>
      </c>
      <c r="J32" s="13">
        <v>25</v>
      </c>
      <c r="K32" s="13">
        <v>528.70905587668597</v>
      </c>
      <c r="L32" s="13">
        <v>20.6</v>
      </c>
    </row>
    <row r="33" spans="1:12" ht="50" customHeight="1" x14ac:dyDescent="0.3">
      <c r="A33" s="13" t="s">
        <v>8</v>
      </c>
      <c r="B33" s="8" t="s">
        <v>9</v>
      </c>
      <c r="C33" s="13">
        <v>7</v>
      </c>
      <c r="D33" s="13">
        <v>3.42</v>
      </c>
      <c r="E33" s="13">
        <v>251.6</v>
      </c>
      <c r="F33" s="13">
        <v>4</v>
      </c>
      <c r="G33" s="13">
        <v>68</v>
      </c>
      <c r="H33" s="13">
        <v>6</v>
      </c>
      <c r="I33" s="13">
        <v>2.6</v>
      </c>
      <c r="J33" s="13">
        <v>25</v>
      </c>
      <c r="K33" s="13">
        <v>376.41509433962261</v>
      </c>
      <c r="L33" s="13">
        <v>29.1</v>
      </c>
    </row>
    <row r="34" spans="1:12" ht="50" customHeight="1" x14ac:dyDescent="0.3">
      <c r="A34" s="13" t="s">
        <v>8</v>
      </c>
      <c r="B34" s="8" t="s">
        <v>9</v>
      </c>
      <c r="C34" s="13">
        <v>7</v>
      </c>
      <c r="D34" s="13">
        <v>3.2</v>
      </c>
      <c r="E34" s="13">
        <v>240.1</v>
      </c>
      <c r="F34" s="13">
        <v>4</v>
      </c>
      <c r="G34" s="13">
        <v>68</v>
      </c>
      <c r="H34" s="13">
        <v>6</v>
      </c>
      <c r="I34" s="13">
        <v>2.6</v>
      </c>
      <c r="J34" s="13">
        <v>25</v>
      </c>
      <c r="K34" s="13">
        <v>400.71556350626128</v>
      </c>
      <c r="L34" s="13">
        <v>43.9</v>
      </c>
    </row>
    <row r="35" spans="1:12" ht="50" customHeight="1" x14ac:dyDescent="0.3">
      <c r="A35" s="13" t="s">
        <v>9</v>
      </c>
      <c r="B35" s="8" t="s">
        <v>8</v>
      </c>
      <c r="C35" s="13">
        <v>7</v>
      </c>
      <c r="D35" s="13">
        <v>3.7</v>
      </c>
      <c r="E35" s="13">
        <v>259.2</v>
      </c>
      <c r="F35" s="13">
        <v>4</v>
      </c>
      <c r="G35" s="13">
        <v>68</v>
      </c>
      <c r="H35" s="13">
        <v>6</v>
      </c>
      <c r="I35" s="13">
        <v>2.6</v>
      </c>
      <c r="J35" s="13">
        <v>25</v>
      </c>
      <c r="K35" s="13">
        <v>451.21951219512204</v>
      </c>
      <c r="L35" s="13">
        <v>31.3</v>
      </c>
    </row>
    <row r="36" spans="1:12" ht="50" customHeight="1" x14ac:dyDescent="0.3">
      <c r="A36" s="13" t="s">
        <v>8</v>
      </c>
      <c r="B36" s="8" t="s">
        <v>8</v>
      </c>
      <c r="C36" s="13">
        <v>7</v>
      </c>
      <c r="D36" s="13">
        <v>3.73</v>
      </c>
      <c r="E36" s="13">
        <v>257.60000000000002</v>
      </c>
      <c r="F36" s="13">
        <v>4</v>
      </c>
      <c r="G36" s="13">
        <v>68</v>
      </c>
      <c r="H36" s="13">
        <v>6</v>
      </c>
      <c r="I36" s="13">
        <v>2.6</v>
      </c>
      <c r="J36" s="13">
        <v>25</v>
      </c>
      <c r="K36" s="13">
        <v>416.29464285714283</v>
      </c>
      <c r="L36" s="13">
        <v>13.3</v>
      </c>
    </row>
    <row r="37" spans="1:12" ht="50" customHeight="1" x14ac:dyDescent="0.3">
      <c r="A37" s="13" t="s">
        <v>8</v>
      </c>
      <c r="B37" s="8" t="s">
        <v>8</v>
      </c>
      <c r="C37" s="13">
        <v>7</v>
      </c>
      <c r="D37" s="13">
        <v>3.67</v>
      </c>
      <c r="E37" s="13">
        <v>252.7</v>
      </c>
      <c r="F37" s="13">
        <v>4</v>
      </c>
      <c r="G37" s="13">
        <v>68</v>
      </c>
      <c r="H37" s="13">
        <v>6</v>
      </c>
      <c r="I37" s="13">
        <v>2.6</v>
      </c>
      <c r="J37" s="13">
        <v>25</v>
      </c>
      <c r="K37" s="13">
        <v>310.1907751750785</v>
      </c>
      <c r="L37" s="13">
        <v>13.4</v>
      </c>
    </row>
    <row r="38" spans="1:12" ht="50" customHeight="1" x14ac:dyDescent="0.3">
      <c r="A38" s="13" t="s">
        <v>8</v>
      </c>
      <c r="B38" s="13" t="s">
        <v>8</v>
      </c>
      <c r="C38" s="13">
        <v>7</v>
      </c>
      <c r="D38" s="13">
        <v>3.32</v>
      </c>
      <c r="E38" s="13">
        <v>232.9</v>
      </c>
      <c r="F38" s="13">
        <v>4</v>
      </c>
      <c r="G38" s="13">
        <v>68</v>
      </c>
      <c r="H38" s="13">
        <v>6</v>
      </c>
      <c r="I38" s="13">
        <v>2.6</v>
      </c>
      <c r="J38" s="13">
        <v>25</v>
      </c>
      <c r="K38" s="13">
        <v>307.08245243128954</v>
      </c>
      <c r="L38" s="13">
        <v>12.9</v>
      </c>
    </row>
    <row r="39" spans="1:12" ht="50" customHeight="1" x14ac:dyDescent="0.3">
      <c r="A39" s="13" t="s">
        <v>9</v>
      </c>
      <c r="B39" s="13" t="s">
        <v>8</v>
      </c>
      <c r="C39" s="13">
        <v>7</v>
      </c>
      <c r="D39" s="13">
        <v>4.0999999999999996</v>
      </c>
      <c r="E39" s="13">
        <v>263.7</v>
      </c>
      <c r="F39" s="13">
        <v>4</v>
      </c>
      <c r="G39" s="13">
        <v>68</v>
      </c>
      <c r="H39" s="13">
        <v>6</v>
      </c>
      <c r="I39" s="13">
        <v>2.6</v>
      </c>
      <c r="J39" s="13">
        <v>25</v>
      </c>
      <c r="K39" s="13">
        <v>440.99569760295014</v>
      </c>
      <c r="L39" s="13">
        <v>15</v>
      </c>
    </row>
    <row r="40" spans="1:12" ht="50" customHeight="1" x14ac:dyDescent="0.3">
      <c r="A40" s="13" t="s">
        <v>8</v>
      </c>
      <c r="B40" s="13" t="s">
        <v>8</v>
      </c>
      <c r="C40" s="13">
        <v>7</v>
      </c>
      <c r="D40" s="13">
        <v>3.85</v>
      </c>
      <c r="E40" s="13">
        <v>252.8</v>
      </c>
      <c r="F40" s="13">
        <v>4</v>
      </c>
      <c r="G40" s="13">
        <v>68</v>
      </c>
      <c r="H40" s="13">
        <v>6</v>
      </c>
      <c r="I40" s="13">
        <v>2.6</v>
      </c>
      <c r="J40" s="13">
        <v>25</v>
      </c>
      <c r="K40" s="13">
        <v>411.07382550335569</v>
      </c>
      <c r="L40" s="13">
        <v>30.8</v>
      </c>
    </row>
    <row r="41" spans="1:12" ht="50" customHeight="1" x14ac:dyDescent="0.3">
      <c r="A41" s="13" t="s">
        <v>8</v>
      </c>
      <c r="B41" s="13" t="s">
        <v>8</v>
      </c>
      <c r="C41" s="13">
        <v>7</v>
      </c>
      <c r="D41" s="13">
        <v>3.54</v>
      </c>
      <c r="E41" s="13">
        <v>251.8</v>
      </c>
      <c r="F41" s="13">
        <v>4</v>
      </c>
      <c r="G41" s="13">
        <v>68</v>
      </c>
      <c r="H41" s="13">
        <v>6</v>
      </c>
      <c r="I41" s="13">
        <v>2.6</v>
      </c>
      <c r="J41" s="13">
        <v>25</v>
      </c>
      <c r="K41" s="13">
        <v>275.02774694783579</v>
      </c>
      <c r="L41" s="13">
        <v>9.6</v>
      </c>
    </row>
    <row r="42" spans="1:12" ht="50" customHeight="1" x14ac:dyDescent="0.3">
      <c r="A42" s="13" t="s">
        <v>8</v>
      </c>
      <c r="B42" s="13" t="s">
        <v>8</v>
      </c>
      <c r="C42" s="13">
        <v>7</v>
      </c>
      <c r="D42" s="13">
        <v>3.34</v>
      </c>
      <c r="E42" s="13">
        <v>238.9</v>
      </c>
      <c r="F42" s="13">
        <v>4</v>
      </c>
      <c r="G42" s="13">
        <v>68</v>
      </c>
      <c r="H42" s="13">
        <v>6</v>
      </c>
      <c r="I42" s="13">
        <v>2.6</v>
      </c>
      <c r="J42" s="13">
        <v>25</v>
      </c>
      <c r="K42" s="13">
        <v>309.66887417218544</v>
      </c>
      <c r="L42" s="13">
        <v>11.9</v>
      </c>
    </row>
    <row r="43" spans="1:12" ht="50" customHeight="1" x14ac:dyDescent="0.3">
      <c r="A43" s="13" t="s">
        <v>8</v>
      </c>
      <c r="B43" s="13" t="s">
        <v>8</v>
      </c>
      <c r="C43" s="13">
        <v>5.93</v>
      </c>
      <c r="D43" s="13">
        <v>4.8600000000000003</v>
      </c>
      <c r="E43" s="13">
        <v>250</v>
      </c>
      <c r="F43" s="13">
        <v>4.0199999999999996</v>
      </c>
      <c r="G43" s="13">
        <v>70</v>
      </c>
      <c r="H43" s="13">
        <v>3</v>
      </c>
      <c r="I43" s="13">
        <v>2</v>
      </c>
      <c r="J43" s="13">
        <v>25</v>
      </c>
      <c r="K43" s="13">
        <v>587.70000000000005</v>
      </c>
      <c r="L43" s="13">
        <v>35.1</v>
      </c>
    </row>
    <row r="44" spans="1:12" ht="50" customHeight="1" x14ac:dyDescent="0.3">
      <c r="A44" s="13" t="s">
        <v>9</v>
      </c>
      <c r="B44" s="13" t="s">
        <v>8</v>
      </c>
      <c r="C44" s="13">
        <v>5.59</v>
      </c>
      <c r="D44" s="13">
        <v>4.7699999999999996</v>
      </c>
      <c r="E44" s="13">
        <v>250</v>
      </c>
      <c r="F44" s="13">
        <v>3.66</v>
      </c>
      <c r="G44" s="13">
        <v>70</v>
      </c>
      <c r="H44" s="13">
        <v>3</v>
      </c>
      <c r="I44" s="13">
        <v>2</v>
      </c>
      <c r="J44" s="13">
        <v>25</v>
      </c>
      <c r="K44" s="13">
        <v>592.6</v>
      </c>
      <c r="L44" s="13">
        <v>19.600000000000001</v>
      </c>
    </row>
    <row r="45" spans="1:12" ht="50" customHeight="1" x14ac:dyDescent="0.3">
      <c r="A45" s="13" t="s">
        <v>9</v>
      </c>
      <c r="B45" s="13" t="s">
        <v>8</v>
      </c>
      <c r="C45" s="13">
        <v>5.58</v>
      </c>
      <c r="D45" s="13">
        <v>4.53</v>
      </c>
      <c r="E45" s="13">
        <v>250</v>
      </c>
      <c r="F45" s="13">
        <v>3.28</v>
      </c>
      <c r="G45" s="13">
        <v>70</v>
      </c>
      <c r="H45" s="13">
        <v>3</v>
      </c>
      <c r="I45" s="13">
        <v>2</v>
      </c>
      <c r="J45" s="13">
        <v>25</v>
      </c>
      <c r="K45" s="13">
        <v>539.5</v>
      </c>
      <c r="L45" s="13">
        <v>34.6</v>
      </c>
    </row>
    <row r="46" spans="1:12" ht="50" customHeight="1" x14ac:dyDescent="0.3">
      <c r="A46" s="13" t="s">
        <v>9</v>
      </c>
      <c r="B46" s="13" t="s">
        <v>8</v>
      </c>
      <c r="C46" s="13">
        <v>5.97</v>
      </c>
      <c r="D46" s="13">
        <v>4.59</v>
      </c>
      <c r="E46" s="13">
        <v>250</v>
      </c>
      <c r="F46" s="13">
        <v>3.3</v>
      </c>
      <c r="G46" s="13">
        <v>70</v>
      </c>
      <c r="H46" s="13">
        <v>3</v>
      </c>
      <c r="I46" s="13">
        <v>2</v>
      </c>
      <c r="J46" s="13">
        <v>25</v>
      </c>
      <c r="K46" s="13">
        <v>386.5</v>
      </c>
      <c r="L46" s="13">
        <v>5.4</v>
      </c>
    </row>
    <row r="47" spans="1:12" ht="50" customHeight="1" x14ac:dyDescent="0.3">
      <c r="A47" s="13" t="s">
        <v>9</v>
      </c>
      <c r="B47" s="13" t="s">
        <v>8</v>
      </c>
      <c r="C47" s="13">
        <v>5.7229999999999999</v>
      </c>
      <c r="D47" s="13">
        <v>5.2</v>
      </c>
      <c r="E47" s="13">
        <v>296</v>
      </c>
      <c r="F47" s="13">
        <v>5</v>
      </c>
      <c r="G47" s="13">
        <v>68</v>
      </c>
      <c r="H47" s="13">
        <v>3.52</v>
      </c>
      <c r="I47" s="13">
        <v>2.5</v>
      </c>
      <c r="J47" s="13">
        <v>25</v>
      </c>
      <c r="K47" s="13">
        <v>620</v>
      </c>
      <c r="L47" s="13">
        <v>70</v>
      </c>
    </row>
    <row r="48" spans="1:12" ht="50" customHeight="1" x14ac:dyDescent="0.3">
      <c r="A48" s="13" t="s">
        <v>9</v>
      </c>
      <c r="B48" s="13" t="s">
        <v>8</v>
      </c>
      <c r="C48" s="13">
        <v>5.7229999999999999</v>
      </c>
      <c r="D48" s="13">
        <v>5.2</v>
      </c>
      <c r="E48" s="13">
        <v>296</v>
      </c>
      <c r="F48" s="13">
        <v>5</v>
      </c>
      <c r="G48" s="13">
        <v>68</v>
      </c>
      <c r="H48" s="13">
        <v>3.52</v>
      </c>
      <c r="I48" s="13">
        <v>2.5</v>
      </c>
      <c r="J48" s="13">
        <v>25</v>
      </c>
      <c r="K48" s="13">
        <v>510</v>
      </c>
      <c r="L48" s="13">
        <v>50</v>
      </c>
    </row>
    <row r="49" spans="1:12" ht="50" customHeight="1" x14ac:dyDescent="0.3">
      <c r="A49" s="13" t="s">
        <v>9</v>
      </c>
      <c r="B49" s="13" t="s">
        <v>8</v>
      </c>
      <c r="C49" s="13">
        <v>5.7229999999999999</v>
      </c>
      <c r="D49" s="13">
        <v>5.2</v>
      </c>
      <c r="E49" s="13">
        <v>296</v>
      </c>
      <c r="F49" s="13">
        <v>5</v>
      </c>
      <c r="G49" s="13">
        <v>68</v>
      </c>
      <c r="H49" s="13">
        <v>3.52</v>
      </c>
      <c r="I49" s="13">
        <v>2.5</v>
      </c>
      <c r="J49" s="13">
        <v>25</v>
      </c>
      <c r="K49" s="13">
        <v>490</v>
      </c>
      <c r="L49" s="13">
        <v>50</v>
      </c>
    </row>
    <row r="50" spans="1:12" ht="50" customHeight="1" x14ac:dyDescent="0.3">
      <c r="A50" s="13" t="s">
        <v>9</v>
      </c>
      <c r="B50" s="13" t="s">
        <v>8</v>
      </c>
      <c r="C50" s="13">
        <v>5.7229999999999999</v>
      </c>
      <c r="D50" s="13">
        <v>5.2</v>
      </c>
      <c r="E50" s="13">
        <v>296</v>
      </c>
      <c r="F50" s="13">
        <v>5</v>
      </c>
      <c r="G50" s="13">
        <v>68</v>
      </c>
      <c r="H50" s="13">
        <v>3.52</v>
      </c>
      <c r="I50" s="13">
        <v>2.5</v>
      </c>
      <c r="J50" s="13">
        <v>25</v>
      </c>
      <c r="K50" s="13">
        <v>395</v>
      </c>
      <c r="L50" s="13">
        <v>40</v>
      </c>
    </row>
    <row r="51" spans="1:12" ht="50" customHeight="1" x14ac:dyDescent="0.3">
      <c r="A51" s="13" t="s">
        <v>9</v>
      </c>
      <c r="B51" s="13" t="s">
        <v>9</v>
      </c>
      <c r="C51" s="13">
        <v>16.3</v>
      </c>
      <c r="D51" s="13">
        <v>0.63</v>
      </c>
      <c r="E51" s="13">
        <v>35.1</v>
      </c>
      <c r="F51" s="13">
        <v>3.66</v>
      </c>
      <c r="G51" s="13">
        <v>63</v>
      </c>
      <c r="H51" s="13">
        <v>6</v>
      </c>
      <c r="I51" s="13">
        <v>3</v>
      </c>
      <c r="J51" s="13">
        <v>25</v>
      </c>
      <c r="K51" s="13">
        <v>228.1</v>
      </c>
      <c r="L51" s="13">
        <v>109.3</v>
      </c>
    </row>
    <row r="52" spans="1:12" ht="50" customHeight="1" x14ac:dyDescent="0.3">
      <c r="A52" s="13" t="s">
        <v>9</v>
      </c>
      <c r="B52" s="13" t="s">
        <v>9</v>
      </c>
      <c r="C52" s="13">
        <v>7.03</v>
      </c>
      <c r="D52" s="13">
        <v>3.94</v>
      </c>
      <c r="E52" s="13">
        <v>239.4</v>
      </c>
      <c r="F52" s="13">
        <v>2.86</v>
      </c>
      <c r="G52" s="13">
        <v>70</v>
      </c>
      <c r="H52" s="13">
        <v>3.5</v>
      </c>
      <c r="I52" s="13">
        <v>3</v>
      </c>
      <c r="J52" s="13">
        <v>25</v>
      </c>
      <c r="K52" s="13">
        <v>591</v>
      </c>
      <c r="L52" s="13">
        <v>14.8</v>
      </c>
    </row>
    <row r="53" spans="1:12" ht="50" customHeight="1" x14ac:dyDescent="0.3">
      <c r="A53" s="13" t="s">
        <v>9</v>
      </c>
      <c r="B53" s="13" t="s">
        <v>8</v>
      </c>
      <c r="C53" s="13">
        <v>6.97</v>
      </c>
      <c r="D53" s="13">
        <v>2.78</v>
      </c>
      <c r="E53" s="13">
        <v>207.3</v>
      </c>
      <c r="F53" s="13">
        <v>2.14</v>
      </c>
      <c r="G53" s="13">
        <v>70</v>
      </c>
      <c r="H53" s="13">
        <v>3.5</v>
      </c>
      <c r="I53" s="13">
        <v>3</v>
      </c>
      <c r="J53" s="13">
        <v>25</v>
      </c>
      <c r="K53" s="13">
        <v>298</v>
      </c>
      <c r="L53" s="13">
        <v>42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333787DE59594B87DDB478182435A7" ma:contentTypeVersion="14" ma:contentTypeDescription="Create a new document." ma:contentTypeScope="" ma:versionID="3d66e986ea1db88d3797188460affc57">
  <xsd:schema xmlns:xsd="http://www.w3.org/2001/XMLSchema" xmlns:xs="http://www.w3.org/2001/XMLSchema" xmlns:p="http://schemas.microsoft.com/office/2006/metadata/properties" xmlns:ns3="b6a7ad5c-0768-47fa-8d90-a3d898c44d06" xmlns:ns4="83e2c44e-af55-424b-9a98-c08bae891b20" targetNamespace="http://schemas.microsoft.com/office/2006/metadata/properties" ma:root="true" ma:fieldsID="50838ef9dddb04406b7bf546cf0261b7" ns3:_="" ns4:_="">
    <xsd:import namespace="b6a7ad5c-0768-47fa-8d90-a3d898c44d06"/>
    <xsd:import namespace="83e2c44e-af55-424b-9a98-c08bae891b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7ad5c-0768-47fa-8d90-a3d898c44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2c44e-af55-424b-9a98-c08bae891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a7ad5c-0768-47fa-8d90-a3d898c44d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9B77D2-89B6-4F6A-A411-F499A3700F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7ad5c-0768-47fa-8d90-a3d898c44d06"/>
    <ds:schemaRef ds:uri="83e2c44e-af55-424b-9a98-c08bae891b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369D47-694B-456A-8217-EEA65A40A6B1}">
  <ds:schemaRefs>
    <ds:schemaRef ds:uri="http://www.w3.org/XML/1998/namespace"/>
    <ds:schemaRef ds:uri="http://schemas.microsoft.com/office/2006/documentManagement/types"/>
    <ds:schemaRef ds:uri="83e2c44e-af55-424b-9a98-c08bae891b20"/>
    <ds:schemaRef ds:uri="http://schemas.microsoft.com/office/2006/metadata/properties"/>
    <ds:schemaRef ds:uri="b6a7ad5c-0768-47fa-8d90-a3d898c44d06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7C7470E-93A7-4236-A07E-B6AD2D7C33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Shan, Dave H</dc:creator>
  <cp:lastModifiedBy>Shan, Dave H</cp:lastModifiedBy>
  <dcterms:created xsi:type="dcterms:W3CDTF">2026-02-05T01:08:20Z</dcterms:created>
  <dcterms:modified xsi:type="dcterms:W3CDTF">2026-05-28T17:33:04Z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0x01010038333787DE59594B87DDB478182435A7</vt:lpwstr>
  </property>
</Properties>
</file>